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 activeTab="1"/>
  </bookViews>
  <sheets>
    <sheet name="Details" sheetId="2" r:id="rId1"/>
    <sheet name="UI Test Cases" sheetId="1" r:id="rId2"/>
    <sheet name="Screenshot checklist" sheetId="3" r:id="rId3"/>
  </sheets>
  <definedNames>
    <definedName name="_xlnm._FilterDatabase" localSheetId="1" hidden="1">'UI Test Cases'!$A$1:$G$11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667338C639DF44998265EDEAACB5D2DB" descr="Screenshot 2026-08-04 180428"/>
        <xdr:cNvPicPr/>
      </xdr:nvPicPr>
      <xdr:blipFill>
        <a:blip r:embed="rId1"/>
        <a:stretch>
          <a:fillRect/>
        </a:stretch>
      </xdr:blipFill>
      <xdr:spPr>
        <a:xfrm>
          <a:off x="0" y="0"/>
          <a:ext cx="9591675" cy="1590675"/>
        </a:xfrm>
        <a:prstGeom prst="rect">
          <a:avLst/>
        </a:prstGeom>
      </xdr:spPr>
    </xdr:pic>
  </etc:cellImage>
  <etc:cellImage>
    <xdr:pic>
      <xdr:nvPicPr>
        <xdr:cNvPr id="3" name="ID_F0EA468016B84EB992663A136BA635FA" descr="Screenshot 2026-08-04 180428"/>
        <xdr:cNvPicPr/>
      </xdr:nvPicPr>
      <xdr:blipFill>
        <a:blip r:embed="rId1"/>
        <a:stretch>
          <a:fillRect/>
        </a:stretch>
      </xdr:blipFill>
      <xdr:spPr>
        <a:xfrm>
          <a:off x="0" y="0"/>
          <a:ext cx="9591675" cy="1590675"/>
        </a:xfrm>
        <a:prstGeom prst="rect">
          <a:avLst/>
        </a:prstGeom>
      </xdr:spPr>
    </xdr:pic>
  </etc:cellImage>
  <etc:cellImage>
    <xdr:pic>
      <xdr:nvPicPr>
        <xdr:cNvPr id="4" name="ID_C6286EF974AB4AE5B9A81CAE180677A2" descr="Screenshot 2026-08-04 180548"/>
        <xdr:cNvPicPr/>
      </xdr:nvPicPr>
      <xdr:blipFill>
        <a:blip r:embed="rId2"/>
        <a:stretch>
          <a:fillRect/>
        </a:stretch>
      </xdr:blipFill>
      <xdr:spPr>
        <a:xfrm>
          <a:off x="0" y="0"/>
          <a:ext cx="9705975" cy="2333625"/>
        </a:xfrm>
        <a:prstGeom prst="rect">
          <a:avLst/>
        </a:prstGeom>
      </xdr:spPr>
    </xdr:pic>
  </etc:cellImage>
  <etc:cellImage>
    <xdr:pic>
      <xdr:nvPicPr>
        <xdr:cNvPr id="5" name="ID_85C9243D619341BA8F666A9B7D399282" descr="Screenshot 2026-08-04 180548"/>
        <xdr:cNvPicPr/>
      </xdr:nvPicPr>
      <xdr:blipFill>
        <a:blip r:embed="rId2"/>
        <a:stretch>
          <a:fillRect/>
        </a:stretch>
      </xdr:blipFill>
      <xdr:spPr>
        <a:xfrm>
          <a:off x="0" y="0"/>
          <a:ext cx="9705975" cy="2333625"/>
        </a:xfrm>
        <a:prstGeom prst="rect">
          <a:avLst/>
        </a:prstGeom>
      </xdr:spPr>
    </xdr:pic>
  </etc:cellImage>
  <etc:cellImage>
    <xdr:pic>
      <xdr:nvPicPr>
        <xdr:cNvPr id="6" name="ID_95935E3745414CEAA29069A2F1A57D8F" descr="Screenshot 2026-08-04 180837"/>
        <xdr:cNvPicPr/>
      </xdr:nvPicPr>
      <xdr:blipFill>
        <a:blip r:embed="rId3"/>
        <a:stretch>
          <a:fillRect/>
        </a:stretch>
      </xdr:blipFill>
      <xdr:spPr>
        <a:xfrm>
          <a:off x="0" y="0"/>
          <a:ext cx="9791700" cy="5305425"/>
        </a:xfrm>
        <a:prstGeom prst="rect">
          <a:avLst/>
        </a:prstGeom>
      </xdr:spPr>
    </xdr:pic>
  </etc:cellImage>
  <etc:cellImage>
    <xdr:pic>
      <xdr:nvPicPr>
        <xdr:cNvPr id="7" name="ID_1FDAA5C0403942BDA2FB59F7E2D1DAD3" descr="Screenshot 2026-08-04 180837"/>
        <xdr:cNvPicPr/>
      </xdr:nvPicPr>
      <xdr:blipFill>
        <a:blip r:embed="rId3"/>
        <a:stretch>
          <a:fillRect/>
        </a:stretch>
      </xdr:blipFill>
      <xdr:spPr>
        <a:xfrm>
          <a:off x="0" y="0"/>
          <a:ext cx="9791700" cy="5305425"/>
        </a:xfrm>
        <a:prstGeom prst="rect">
          <a:avLst/>
        </a:prstGeom>
      </xdr:spPr>
    </xdr:pic>
  </etc:cellImage>
  <etc:cellImage>
    <xdr:pic>
      <xdr:nvPicPr>
        <xdr:cNvPr id="8" name="ID_578C3BA0ADA14A228539918DE13DCDBF" descr="Screenshot 2026-08-04 181135"/>
        <xdr:cNvPicPr/>
      </xdr:nvPicPr>
      <xdr:blipFill>
        <a:blip r:embed="rId4"/>
        <a:stretch>
          <a:fillRect/>
        </a:stretch>
      </xdr:blipFill>
      <xdr:spPr>
        <a:xfrm>
          <a:off x="0" y="0"/>
          <a:ext cx="10058400" cy="5711190"/>
        </a:xfrm>
        <a:prstGeom prst="rect">
          <a:avLst/>
        </a:prstGeom>
      </xdr:spPr>
    </xdr:pic>
  </etc:cellImage>
  <etc:cellImage>
    <xdr:pic>
      <xdr:nvPicPr>
        <xdr:cNvPr id="9" name="ID_68B13806BA714BB3A6524974CCE45CE0" descr="Screenshot 2026-08-04 181135"/>
        <xdr:cNvPicPr/>
      </xdr:nvPicPr>
      <xdr:blipFill>
        <a:blip r:embed="rId4"/>
        <a:stretch>
          <a:fillRect/>
        </a:stretch>
      </xdr:blipFill>
      <xdr:spPr>
        <a:xfrm>
          <a:off x="0" y="0"/>
          <a:ext cx="10058400" cy="5711190"/>
        </a:xfrm>
        <a:prstGeom prst="rect">
          <a:avLst/>
        </a:prstGeom>
      </xdr:spPr>
    </xdr:pic>
  </etc:cellImage>
  <etc:cellImage>
    <xdr:pic>
      <xdr:nvPicPr>
        <xdr:cNvPr id="12" name="ID_6137537BF8F540FAB0ED0C33103F918C" descr="Screenshot 2026-08-04 182450"/>
        <xdr:cNvPicPr/>
      </xdr:nvPicPr>
      <xdr:blipFill>
        <a:blip r:embed="rId5"/>
        <a:stretch>
          <a:fillRect/>
        </a:stretch>
      </xdr:blipFill>
      <xdr:spPr>
        <a:xfrm>
          <a:off x="0" y="0"/>
          <a:ext cx="10058400" cy="3622040"/>
        </a:xfrm>
        <a:prstGeom prst="rect">
          <a:avLst/>
        </a:prstGeom>
      </xdr:spPr>
    </xdr:pic>
  </etc:cellImage>
  <etc:cellImage>
    <xdr:pic>
      <xdr:nvPicPr>
        <xdr:cNvPr id="13" name="ID_D14D8E05815447608928BBC649FF1310" descr="Screenshot 2026-08-04 182450"/>
        <xdr:cNvPicPr/>
      </xdr:nvPicPr>
      <xdr:blipFill>
        <a:blip r:embed="rId5"/>
        <a:stretch>
          <a:fillRect/>
        </a:stretch>
      </xdr:blipFill>
      <xdr:spPr>
        <a:xfrm>
          <a:off x="0" y="0"/>
          <a:ext cx="10058400" cy="3622040"/>
        </a:xfrm>
        <a:prstGeom prst="rect">
          <a:avLst/>
        </a:prstGeom>
      </xdr:spPr>
    </xdr:pic>
  </etc:cellImage>
  <etc:cellImage>
    <xdr:pic>
      <xdr:nvPicPr>
        <xdr:cNvPr id="14" name="ID_64902B618A304CD89D743EBF18FB8EE2" descr="Screenshot 2026-08-04 182846"/>
        <xdr:cNvPicPr/>
      </xdr:nvPicPr>
      <xdr:blipFill>
        <a:blip r:embed="rId6"/>
        <a:stretch>
          <a:fillRect/>
        </a:stretch>
      </xdr:blipFill>
      <xdr:spPr>
        <a:xfrm>
          <a:off x="0" y="0"/>
          <a:ext cx="8429625" cy="1057275"/>
        </a:xfrm>
        <a:prstGeom prst="rect">
          <a:avLst/>
        </a:prstGeom>
      </xdr:spPr>
    </xdr:pic>
  </etc:cellImage>
  <etc:cellImage>
    <xdr:pic>
      <xdr:nvPicPr>
        <xdr:cNvPr id="15" name="ID_9E243E379E1C4F1286DCFD0AC4B51A96" descr="Screenshot 2026-08-04 183113"/>
        <xdr:cNvPicPr/>
      </xdr:nvPicPr>
      <xdr:blipFill>
        <a:blip r:embed="rId7"/>
        <a:stretch>
          <a:fillRect/>
        </a:stretch>
      </xdr:blipFill>
      <xdr:spPr>
        <a:xfrm>
          <a:off x="0" y="0"/>
          <a:ext cx="10058400" cy="587756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<sst xmlns="http://schemas.openxmlformats.org/spreadsheetml/2006/main" count="104" uniqueCount="76">
  <si>
    <t>Portal UX Review Cleanup — UI Test Guide</t>
  </si>
  <si>
    <t/>
  </si>
  <si>
    <t>Branch</t>
  </si>
  <si>
    <t>feature/portal-ux-review-cleanup</t>
  </si>
  <si>
    <t>Scope</t>
  </si>
  <si>
    <t>Only the UI changes listed below (AI order summary removal, Single Order Investigation layout, Shop Vouchers).</t>
  </si>
  <si>
    <t>Prerequisites</t>
  </si>
  <si>
    <t>1</t>
  </si>
  <si>
    <t>Checkout branch feature/portal-ux-review-cleanup and start the app (./start.ps1 or uvicorn on :8000).</t>
  </si>
  <si>
    <t>2</t>
  </si>
  <si>
    <t>Hard-refresh browser (Ctrl+F5) so cache bumps load: analyst app.js/styles.css ?v=76, customer app.js ?v=45 / styles.css ?v=42.</t>
  </si>
  <si>
    <t>3</t>
  </si>
  <si>
    <t>Analyst portal: http://127.0.0.1:8000/portal/ — login analyst / secure123 (or admin / admin123).</t>
  </si>
  <si>
    <t>4</t>
  </si>
  <si>
    <t>Customer shop: http://127.0.0.1:8000/shop/ — login as a customer account.</t>
  </si>
  <si>
    <t>5</t>
  </si>
  <si>
    <t>Need at least one order in the review queue (ON_HOLD or PENDING_REVIEW) to test investigation layout + Approve/Reject/Mark Fraud.</t>
  </si>
  <si>
    <t>Test ID</t>
  </si>
  <si>
    <t>Area</t>
  </si>
  <si>
    <t>Change under test</t>
  </si>
  <si>
    <t>Steps (UI)</t>
  </si>
  <si>
    <t>Expected result</t>
  </si>
  <si>
    <t>Pass / Fail</t>
  </si>
  <si>
    <t>Screenshot</t>
  </si>
  <si>
    <t>01</t>
  </si>
  <si>
    <t>Analyst — AI summary removed</t>
  </si>
  <si>
    <t>AI order review summary UI / API removed</t>
  </si>
  <si>
    <t xml:space="preserve">1. Login analyst portal.
2. Open Fraud Dashboard.
3. Open any order in Single Order Investigation.
4. Scan the investigation panel top-to-bottom.
</t>
  </si>
  <si>
    <t>No AI Summary / AI Recommendation panel, button, or section on the order investigation page. Core sections remain (hero, flagged reason, customer/order details, security, decision).</t>
  </si>
  <si>
    <t>Pass</t>
  </si>
  <si>
    <t>02</t>
  </si>
  <si>
    <t>Analyst — Investigation hero</t>
  </si>
  <si>
    <t>Order ID + remaining/overdue timing combined into one hero card</t>
  </si>
  <si>
    <t>1. Open Fraud Dashboard with a queue order.
2. In Single Order Investigation, select an order.
3. Look at the top card under the order selector.</t>
  </si>
  <si>
    <t>One hero card shows Order ID (status/program/timestamp) AND Remaining review / Time overdue metrics together — not separate distant cards.</t>
  </si>
  <si>
    <t>03</t>
  </si>
  <si>
    <t>Analyst — Flagged reason</t>
  </si>
  <si>
    <t>Flagged reason moved directly under Order ID hero card</t>
  </si>
  <si>
    <t>1. Open an order that has a flagged_reason (fraud rule hit).
2. Check vertical order of sections under the hero.</t>
  </si>
  <si>
    <t>Flagged reason appears immediately under the Order ID hero card, before Customer details / Order details. Text aligns with shared panel gutters (not indented oddly).</t>
  </si>
  <si>
    <t>04</t>
  </si>
  <si>
    <t>Analyst — Decision placement</t>
  </si>
  <si>
    <t>Analyst Decision after Security actions; Approve/Reject/Mark Fraud + comments kept</t>
  </si>
  <si>
    <t>1. Open an ON_HOLD or PENDING_REVIEW order.
2. Scroll the investigation panel.
3. Confirm section order, then try comments + buttons (smoke only).</t>
  </si>
  <si>
    <t>Section order: Hero → Flagged reason → Customer/Order details → Security actions → Analyst Decision (comments + Approve / Reject / Mark Fraud). Buttons still work; no nested page-inside-page scroll box for the investigation.</t>
  </si>
  <si>
    <t>05</t>
  </si>
  <si>
    <t>Analyst — Layout / scroll</t>
  </si>
  <si>
    <t>Removed nested page-inside-page scroll panel</t>
  </si>
  <si>
    <t>1. Open Single Order Investigation on a desktop-height window.
2. Scroll using the main page scrollbar only.
3. Resize window shorter and re-check.</t>
  </si>
  <si>
    <t>Investigation content scrolls with the main portal page. No inner nested scroll frame trapping the investigation content.</t>
  </si>
  <si>
    <t>06</t>
  </si>
  <si>
    <t>Analyst — Core intact (smoke)</t>
  </si>
  <si>
    <t>Fraud queue / Approve / Reject / Mark Fraud still available</t>
  </si>
  <si>
    <t>1. Confirm Review queue table still lists orders.
2. On one review order: enter a comment.
3. Click Approve (or Reject / Mark Fraud on a disposable test order).</t>
  </si>
  <si>
    <t>Queue visible; decision actions succeed and order leaves review queue.</t>
  </si>
  <si>
    <t>07</t>
  </si>
  <si>
    <t>Customer — Vouchers placement</t>
  </si>
  <si>
    <t>Vouchers independent control top-right of Shop heading (not global topbar)</t>
  </si>
  <si>
    <t>1. Login customer portal → open Shop.
2. Look at page heading (Shop / browse title).
3. Check global topbar separately.</t>
  </si>
  <si>
    <t>Compact Vouchers pill sits top-right of the Shop page heading (beside title), NOT in the global topbar. Cart remains as header cart chip only.</t>
  </si>
  <si>
    <t>08</t>
  </si>
  <si>
    <t>Customer — Categories bar</t>
  </si>
  <si>
    <t>Categories bar is product categories only (All / Electronics / Appliances / Furniture)</t>
  </si>
  <si>
    <t>1. On Shop, look at Categories filter under search.
2. Confirm chips present.
3. Confirm Vouchers is NOT a category chip in that bar.</t>
  </si>
  <si>
    <t>Categories bar shows only product categories (e.g. All, Electronics, Appliances, Furniture). Vouchers is separate (heading pill), not mixed into category chips.</t>
  </si>
  <si>
    <t>09</t>
  </si>
  <si>
    <t>Customer — No View cart under Vouchers</t>
  </si>
  <si>
    <t>Removed View cart button under Vouchers; cart stays in header chip</t>
  </si>
  <si>
    <t>1. On Shop page, inspect area near Vouchers and under the heading.
2. Click header cart chip to open cart.</t>
  </si>
  <si>
    <t>No View cart button under Vouchers or in the shop heading actions. Cart access is via the header cart chip only.</t>
  </si>
  <si>
    <t>10</t>
  </si>
  <si>
    <t>Customer — Vouchers behavior</t>
  </si>
  <si>
    <t>Vouchers button filters gift vouchers; compact pill width</t>
  </si>
  <si>
    <t>1. Click Vouchers .
2. Confirm product grid shows voucher items only.
3. Click again to return to All (or click All).</t>
  </si>
  <si>
    <t>Vouchers toggles voucher catalog; button is a compact pill (not full-width). Active styling when selected.</t>
  </si>
  <si>
    <t>Screenshots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</si>
</sst>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i/>
      <sz val="11"/>
      <color rgb="FF1B5E20"/>
      <name val="Calibri"/>
      <charset val="134"/>
      <scheme val="minor"/>
    </font>
    <font>
      <sz val="11"/>
      <name val="Calibri"/>
      <charset val="134"/>
      <scheme val="minor"/>
    </font>
    <font>
      <b/>
      <sz val="14"/>
      <color rgb="FF1A237E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A237E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CFD8DC"/>
      </left>
      <right style="thin">
        <color rgb="FFCFD8DC"/>
      </right>
      <top style="thin">
        <color rgb="FFCFD8DC"/>
      </top>
      <bottom style="thin">
        <color rgb="FFCFD8DC"/>
      </bottom>
      <diagonal/>
    </border>
    <border>
      <left style="thin">
        <color rgb="FFCFD8DC"/>
      </left>
      <right style="thin">
        <color rgb="FFCFD8DC"/>
      </right>
      <top style="thin">
        <color rgb="FFCFD8DC"/>
      </top>
      <bottom/>
      <diagonal/>
    </border>
    <border>
      <left style="thin">
        <color rgb="FFCFD8DC"/>
      </left>
      <right style="thin">
        <color rgb="FFCFD8DC"/>
      </right>
      <top/>
      <bottom style="thin">
        <color rgb="FFCFD8D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9" borderId="9" applyNumberFormat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8" fillId="10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Fill="1" applyBorder="1" applyAlignment="1">
      <alignment horizontal="center" vertical="top" wrapText="1"/>
    </xf>
    <xf numFmtId="0" fontId="2" fillId="3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vertical="top" wrapText="1"/>
    </xf>
    <xf numFmtId="0" fontId="4" fillId="0" borderId="0" xfId="0" applyFont="1"/>
    <xf numFmtId="0" fontId="5" fillId="6" borderId="4" xfId="0" applyFont="1" applyFill="1" applyBorder="1"/>
    <xf numFmtId="0" fontId="0" fillId="0" borderId="4" xfId="0" applyBorder="1"/>
    <xf numFmtId="0" fontId="0" fillId="6" borderId="4" xfId="0" applyFill="1" applyBorder="1"/>
    <xf numFmtId="0" fontId="5" fillId="0" borderId="0" xfId="0" applyFont="1"/>
    <xf numFmtId="0" fontId="0" fillId="4" borderId="1" xfId="0" applyFill="1" applyBorder="1" applyAlignment="1" quotePrefix="1">
      <alignment vertical="top" wrapText="1"/>
    </xf>
    <xf numFmtId="0" fontId="0" fillId="0" borderId="1" xfId="0" applyBorder="1" applyAlignment="1" quotePrefix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mruColors>
      <color rgb="009CFB0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7" Type="http://schemas.openxmlformats.org/officeDocument/2006/relationships/image" Target="media/image10.png"/><Relationship Id="rId6" Type="http://schemas.openxmlformats.org/officeDocument/2006/relationships/image" Target="media/image9.png"/><Relationship Id="rId5" Type="http://schemas.openxmlformats.org/officeDocument/2006/relationships/image" Target="media/image8.png"/><Relationship Id="rId4" Type="http://schemas.openxmlformats.org/officeDocument/2006/relationships/image" Target="media/image7.png"/><Relationship Id="rId3" Type="http://schemas.openxmlformats.org/officeDocument/2006/relationships/image" Target="media/image6.png"/><Relationship Id="rId2" Type="http://schemas.openxmlformats.org/officeDocument/2006/relationships/image" Target="media/image5.png"/><Relationship Id="rId1" Type="http://schemas.openxmlformats.org/officeDocument/2006/relationships/image" Target="media/image4.pn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57150</xdr:colOff>
      <xdr:row>1</xdr:row>
      <xdr:rowOff>38100</xdr:rowOff>
    </xdr:from>
    <xdr:to>
      <xdr:col>6</xdr:col>
      <xdr:colOff>4391660</xdr:colOff>
      <xdr:row>1</xdr:row>
      <xdr:rowOff>2062480</xdr:rowOff>
    </xdr:to>
    <xdr:pic>
      <xdr:nvPicPr>
        <xdr:cNvPr id="2" name="Picture 1" descr="C:/Users/sudayasurriyan/Pictures/Screenshots/Screenshot 2026-08-04 175746.pngScreenshot 2026-08-04 175746"/>
        <xdr:cNvPicPr>
          <a:picLocks noChangeAspect="1"/>
        </xdr:cNvPicPr>
      </xdr:nvPicPr>
      <xdr:blipFill>
        <a:blip r:embed="rId1"/>
        <a:srcRect l="988" t="-16" r="988" b="16"/>
        <a:stretch>
          <a:fillRect/>
        </a:stretch>
      </xdr:blipFill>
      <xdr:spPr>
        <a:xfrm>
          <a:off x="12192000" y="444500"/>
          <a:ext cx="4334510" cy="2024380"/>
        </a:xfrm>
        <a:prstGeom prst="rect">
          <a:avLst/>
        </a:prstGeom>
      </xdr:spPr>
    </xdr:pic>
    <xdr:clientData/>
  </xdr:twoCellAnchor>
  <xdr:twoCellAnchor editAs="oneCell">
    <xdr:from>
      <xdr:col>6</xdr:col>
      <xdr:colOff>47625</xdr:colOff>
      <xdr:row>6</xdr:row>
      <xdr:rowOff>19050</xdr:rowOff>
    </xdr:from>
    <xdr:to>
      <xdr:col>6</xdr:col>
      <xdr:colOff>4367530</xdr:colOff>
      <xdr:row>6</xdr:row>
      <xdr:rowOff>1671320</xdr:rowOff>
    </xdr:to>
    <xdr:pic>
      <xdr:nvPicPr>
        <xdr:cNvPr id="3" name="Picture 2" descr="Screenshot 2026-08-04 18180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182475" y="9417050"/>
          <a:ext cx="4319905" cy="1652270"/>
        </a:xfrm>
        <a:prstGeom prst="rect">
          <a:avLst/>
        </a:prstGeom>
      </xdr:spPr>
    </xdr:pic>
    <xdr:clientData/>
  </xdr:twoCellAnchor>
  <xdr:twoCellAnchor editAs="oneCell">
    <xdr:from>
      <xdr:col>6</xdr:col>
      <xdr:colOff>47625</xdr:colOff>
      <xdr:row>6</xdr:row>
      <xdr:rowOff>1752600</xdr:rowOff>
    </xdr:from>
    <xdr:to>
      <xdr:col>6</xdr:col>
      <xdr:colOff>4382135</xdr:colOff>
      <xdr:row>6</xdr:row>
      <xdr:rowOff>3350260</xdr:rowOff>
    </xdr:to>
    <xdr:pic>
      <xdr:nvPicPr>
        <xdr:cNvPr id="4" name="Picture 3" descr="Screenshot 2026-08-04 18184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182475" y="11150600"/>
          <a:ext cx="4334510" cy="15976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4334510</xdr:colOff>
      <xdr:row>1</xdr:row>
      <xdr:rowOff>2024380</xdr:rowOff>
    </xdr:to>
    <xdr:pic>
      <xdr:nvPicPr>
        <xdr:cNvPr id="2" name="Picture 1" descr="C:/Users/sudayasurriyan/Pictures/Screenshots/Screenshot 2026-08-04 175746.pngScreenshot 2026-08-04 175746"/>
        <xdr:cNvPicPr>
          <a:picLocks noChangeAspect="1"/>
        </xdr:cNvPicPr>
      </xdr:nvPicPr>
      <xdr:blipFill>
        <a:blip r:embed="rId1"/>
        <a:srcRect l="988" t="-16" r="988" b="16"/>
        <a:stretch>
          <a:fillRect/>
        </a:stretch>
      </xdr:blipFill>
      <xdr:spPr>
        <a:xfrm>
          <a:off x="666750" y="190500"/>
          <a:ext cx="4334510" cy="2024380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6</xdr:row>
      <xdr:rowOff>98425</xdr:rowOff>
    </xdr:from>
    <xdr:to>
      <xdr:col>1</xdr:col>
      <xdr:colOff>4377055</xdr:colOff>
      <xdr:row>6</xdr:row>
      <xdr:rowOff>1750695</xdr:rowOff>
    </xdr:to>
    <xdr:pic>
      <xdr:nvPicPr>
        <xdr:cNvPr id="3" name="Picture 2" descr="Screenshot 2026-08-04 18180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23900" y="8975725"/>
          <a:ext cx="4319905" cy="165227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</xdr:row>
      <xdr:rowOff>1812925</xdr:rowOff>
    </xdr:from>
    <xdr:to>
      <xdr:col>1</xdr:col>
      <xdr:colOff>4382135</xdr:colOff>
      <xdr:row>6</xdr:row>
      <xdr:rowOff>3410585</xdr:rowOff>
    </xdr:to>
    <xdr:pic>
      <xdr:nvPicPr>
        <xdr:cNvPr id="4" name="Picture 3" descr="Screenshot 2026-08-04 18184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14375" y="10690225"/>
          <a:ext cx="4334510" cy="15976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workbookViewId="0">
      <selection activeCell="A14" sqref="A14"/>
    </sheetView>
  </sheetViews>
  <sheetFormatPr defaultColWidth="9" defaultRowHeight="15" outlineLevelCol="1"/>
  <cols>
    <col min="1" max="1" width="54.1428571428571" customWidth="1"/>
    <col min="2" max="2" width="126" customWidth="1"/>
  </cols>
  <sheetData>
    <row r="1" ht="22" customHeight="1" spans="1:2">
      <c r="A1" s="11" t="s">
        <v>0</v>
      </c>
      <c r="B1" t="s">
        <v>1</v>
      </c>
    </row>
    <row r="2" spans="1:2">
      <c r="A2" s="12" t="s">
        <v>2</v>
      </c>
      <c r="B2" s="13" t="s">
        <v>3</v>
      </c>
    </row>
    <row r="3" spans="1:2">
      <c r="A3" s="12" t="s">
        <v>4</v>
      </c>
      <c r="B3" s="13" t="s">
        <v>5</v>
      </c>
    </row>
    <row r="4" spans="1:2">
      <c r="A4" t="s">
        <v>1</v>
      </c>
      <c r="B4" t="s">
        <v>1</v>
      </c>
    </row>
    <row r="5" spans="1:2">
      <c r="A5" s="12" t="s">
        <v>6</v>
      </c>
      <c r="B5" s="13" t="s">
        <v>1</v>
      </c>
    </row>
    <row r="6" spans="1:2">
      <c r="A6" s="14" t="s">
        <v>7</v>
      </c>
      <c r="B6" s="13" t="s">
        <v>8</v>
      </c>
    </row>
    <row r="7" spans="1:2">
      <c r="A7" s="14" t="s">
        <v>9</v>
      </c>
      <c r="B7" s="13" t="s">
        <v>10</v>
      </c>
    </row>
    <row r="8" spans="1:2">
      <c r="A8" s="14" t="s">
        <v>11</v>
      </c>
      <c r="B8" s="13" t="s">
        <v>12</v>
      </c>
    </row>
    <row r="9" spans="1:2">
      <c r="A9" s="14" t="s">
        <v>13</v>
      </c>
      <c r="B9" s="13" t="s">
        <v>14</v>
      </c>
    </row>
    <row r="10" spans="1:2">
      <c r="A10" s="14" t="s">
        <v>15</v>
      </c>
      <c r="B10" s="13" t="s">
        <v>16</v>
      </c>
    </row>
    <row r="11" spans="1:2">
      <c r="A11" t="s">
        <v>1</v>
      </c>
      <c r="B11" t="s">
        <v>1</v>
      </c>
    </row>
    <row r="12" spans="1:2">
      <c r="A12" s="15"/>
      <c r="B12" t="s">
        <v>1</v>
      </c>
    </row>
    <row r="15" spans="1:2">
      <c r="A15" t="s">
        <v>1</v>
      </c>
      <c r="B15" t="s">
        <v>1</v>
      </c>
    </row>
    <row r="16" spans="1:2">
      <c r="A16" s="15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zoomScale="10" zoomScaleNormal="10" workbookViewId="0">
      <pane ySplit="1" topLeftCell="A2" activePane="bottomLeft" state="frozen"/>
      <selection/>
      <selection pane="bottomLeft" activeCell="E11" sqref="E11"/>
    </sheetView>
  </sheetViews>
  <sheetFormatPr defaultColWidth="9" defaultRowHeight="15" outlineLevelCol="6"/>
  <cols>
    <col min="1" max="1" width="10" customWidth="1"/>
    <col min="2" max="2" width="28" customWidth="1"/>
    <col min="3" max="3" width="36" customWidth="1"/>
    <col min="4" max="5" width="48" customWidth="1"/>
    <col min="6" max="6" width="12" customWidth="1"/>
    <col min="7" max="7" width="67.2857142857143" customWidth="1"/>
  </cols>
  <sheetData>
    <row r="1" ht="32" customHeight="1" spans="1:7">
      <c r="A1" s="6" t="s">
        <v>17</v>
      </c>
      <c r="B1" s="6" t="s">
        <v>18</v>
      </c>
      <c r="C1" s="6" t="s">
        <v>19</v>
      </c>
      <c r="D1" s="6" t="s">
        <v>20</v>
      </c>
      <c r="E1" s="6" t="s">
        <v>21</v>
      </c>
      <c r="F1" s="6" t="s">
        <v>22</v>
      </c>
      <c r="G1" s="6" t="s">
        <v>23</v>
      </c>
    </row>
    <row r="2" ht="166" customHeight="1" spans="1:7">
      <c r="A2" s="16" t="s">
        <v>24</v>
      </c>
      <c r="B2" s="7" t="s">
        <v>25</v>
      </c>
      <c r="C2" s="7" t="s">
        <v>26</v>
      </c>
      <c r="D2" s="7" t="s">
        <v>27</v>
      </c>
      <c r="E2" s="7" t="s">
        <v>28</v>
      </c>
      <c r="F2" s="8" t="s">
        <v>29</v>
      </c>
      <c r="G2" s="5"/>
    </row>
    <row r="3" ht="95" customHeight="1" spans="1:7">
      <c r="A3" s="17" t="s">
        <v>30</v>
      </c>
      <c r="B3" s="2" t="s">
        <v>31</v>
      </c>
      <c r="C3" s="2" t="s">
        <v>32</v>
      </c>
      <c r="D3" s="2" t="s">
        <v>33</v>
      </c>
      <c r="E3" s="2" t="s">
        <v>34</v>
      </c>
      <c r="F3" s="8" t="s">
        <v>29</v>
      </c>
      <c r="G3" s="5" t="str">
        <f>_xlfn.DISPIMG("ID_667338C639DF44998265EDEAACB5D2DB",1)</f>
        <v>=DISPIMG("ID_667338C639DF44998265EDEAACB5D2DB",1)</v>
      </c>
    </row>
    <row r="4" ht="95" customHeight="1" spans="1:7">
      <c r="A4" s="16" t="s">
        <v>35</v>
      </c>
      <c r="B4" s="7" t="s">
        <v>36</v>
      </c>
      <c r="C4" s="7" t="s">
        <v>37</v>
      </c>
      <c r="D4" s="7" t="s">
        <v>38</v>
      </c>
      <c r="E4" s="7" t="s">
        <v>39</v>
      </c>
      <c r="F4" s="8" t="s">
        <v>29</v>
      </c>
      <c r="G4" s="5" t="str">
        <f>_xlfn.DISPIMG("ID_C6286EF974AB4AE5B9A81CAE180677A2",1)</f>
        <v>=DISPIMG("ID_C6286EF974AB4AE5B9A81CAE180677A2",1)</v>
      </c>
    </row>
    <row r="5" ht="186" customHeight="1" spans="1:7">
      <c r="A5" s="16" t="s">
        <v>40</v>
      </c>
      <c r="B5" s="2" t="s">
        <v>41</v>
      </c>
      <c r="C5" s="2" t="s">
        <v>42</v>
      </c>
      <c r="D5" s="2" t="s">
        <v>43</v>
      </c>
      <c r="E5" s="2" t="s">
        <v>44</v>
      </c>
      <c r="F5" s="8" t="s">
        <v>29</v>
      </c>
      <c r="G5" s="5" t="str">
        <f>_xlfn.DISPIMG("ID_95935E3745414CEAA29069A2F1A57D8F",1)</f>
        <v>=DISPIMG("ID_95935E3745414CEAA29069A2F1A57D8F",1)</v>
      </c>
    </row>
    <row r="6" ht="166" customHeight="1" spans="1:7">
      <c r="A6" s="16" t="s">
        <v>45</v>
      </c>
      <c r="B6" s="7" t="s">
        <v>46</v>
      </c>
      <c r="C6" s="7" t="s">
        <v>47</v>
      </c>
      <c r="D6" s="7" t="s">
        <v>48</v>
      </c>
      <c r="E6" s="7" t="s">
        <v>49</v>
      </c>
      <c r="F6" s="8" t="s">
        <v>29</v>
      </c>
      <c r="G6" s="5" t="str">
        <f>_xlfn.DISPIMG("ID_578C3BA0ADA14A228539918DE13DCDBF",1)</f>
        <v>=DISPIMG("ID_578C3BA0ADA14A228539918DE13DCDBF",1)</v>
      </c>
    </row>
    <row r="7" ht="277" customHeight="1" spans="1:7">
      <c r="A7" s="16" t="s">
        <v>50</v>
      </c>
      <c r="B7" s="2" t="s">
        <v>51</v>
      </c>
      <c r="C7" s="2" t="s">
        <v>52</v>
      </c>
      <c r="D7" s="2" t="s">
        <v>53</v>
      </c>
      <c r="E7" s="2" t="s">
        <v>54</v>
      </c>
      <c r="F7" s="8" t="s">
        <v>29</v>
      </c>
      <c r="G7" s="5"/>
    </row>
    <row r="8" ht="140" customHeight="1" spans="1:7">
      <c r="A8" s="16" t="s">
        <v>55</v>
      </c>
      <c r="B8" s="7" t="s">
        <v>56</v>
      </c>
      <c r="C8" s="7" t="s">
        <v>57</v>
      </c>
      <c r="D8" s="7" t="s">
        <v>58</v>
      </c>
      <c r="E8" s="7" t="s">
        <v>59</v>
      </c>
      <c r="F8" s="8" t="s">
        <v>29</v>
      </c>
      <c r="G8" s="9" t="str">
        <f>_xlfn.DISPIMG("ID_6137537BF8F540FAB0ED0C33103F918C",1)</f>
        <v>=DISPIMG("ID_6137537BF8F540FAB0ED0C33103F918C",1)</v>
      </c>
    </row>
    <row r="9" ht="121" customHeight="1" spans="1:7">
      <c r="A9" s="16" t="s">
        <v>60</v>
      </c>
      <c r="B9" s="2" t="s">
        <v>61</v>
      </c>
      <c r="C9" s="2" t="s">
        <v>62</v>
      </c>
      <c r="D9" s="2" t="s">
        <v>63</v>
      </c>
      <c r="E9" s="2" t="s">
        <v>64</v>
      </c>
      <c r="F9" s="8" t="s">
        <v>29</v>
      </c>
      <c r="G9" s="10"/>
    </row>
    <row r="10" ht="95" customHeight="1" spans="1:7">
      <c r="A10" s="16" t="s">
        <v>65</v>
      </c>
      <c r="B10" s="7" t="s">
        <v>66</v>
      </c>
      <c r="C10" s="7" t="s">
        <v>67</v>
      </c>
      <c r="D10" s="7" t="s">
        <v>68</v>
      </c>
      <c r="E10" s="7" t="s">
        <v>69</v>
      </c>
      <c r="F10" s="8" t="s">
        <v>29</v>
      </c>
      <c r="G10" s="5" t="str">
        <f>_xlfn.DISPIMG("ID_64902B618A304CD89D743EBF18FB8EE2",1)</f>
        <v>=DISPIMG("ID_64902B618A304CD89D743EBF18FB8EE2",1)</v>
      </c>
    </row>
    <row r="11" ht="192" customHeight="1" spans="1:7">
      <c r="A11" s="16" t="s">
        <v>70</v>
      </c>
      <c r="B11" s="2" t="s">
        <v>71</v>
      </c>
      <c r="C11" s="2" t="s">
        <v>72</v>
      </c>
      <c r="D11" s="2" t="s">
        <v>73</v>
      </c>
      <c r="E11" s="2" t="s">
        <v>74</v>
      </c>
      <c r="F11" s="8" t="s">
        <v>29</v>
      </c>
      <c r="G11" s="5" t="str">
        <f>_xlfn.DISPIMG("ID_9E243E379E1C4F1286DCFD0AC4B51A96",1)</f>
        <v>=DISPIMG("ID_9E243E379E1C4F1286DCFD0AC4B51A96",1)</v>
      </c>
    </row>
  </sheetData>
  <autoFilter xmlns:etc="http://www.wps.cn/officeDocument/2017/etCustomData" ref="A1:G11" etc:filterBottomFollowUsedRange="0">
    <extLst/>
  </autoFilter>
  <mergeCells count="1">
    <mergeCell ref="G8:G9"/>
  </mergeCells>
  <conditionalFormatting sqref="F1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{704b0992-7d81-4e03-a657-b07d8f31c5c5}</x14:id>
        </ext>
      </extLst>
    </cfRule>
  </conditionalFormatting>
  <conditionalFormatting sqref="F$1:F$1048576">
    <cfRule type="cellIs" dxfId="0" priority="2" operator="equal">
      <formula>"Pass"</formula>
    </cfRule>
    <cfRule type="cellIs" dxfId="1" priority="1" operator="equal">
      <formula>"Fail"</formula>
    </cfRule>
  </conditionalFormatting>
  <pageMargins left="0.75" right="0.75" top="1" bottom="1" header="0.5" footer="0.5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04b0992-7d81-4e03-a657-b07d8f31c5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pane ySplit="1" topLeftCell="A8" activePane="bottomLeft" state="frozen"/>
      <selection/>
      <selection pane="bottomLeft" activeCell="E9" sqref="E9"/>
    </sheetView>
  </sheetViews>
  <sheetFormatPr defaultColWidth="9" defaultRowHeight="15" outlineLevelCol="1"/>
  <cols>
    <col min="1" max="1" width="10" customWidth="1"/>
    <col min="2" max="2" width="66.2857142857143" customWidth="1"/>
  </cols>
  <sheetData>
    <row r="1" spans="1:2">
      <c r="A1" s="1" t="s">
        <v>17</v>
      </c>
      <c r="B1" s="1" t="s">
        <v>75</v>
      </c>
    </row>
    <row r="2" ht="166" customHeight="1" spans="1:2">
      <c r="A2" s="17" t="s">
        <v>24</v>
      </c>
      <c r="B2" s="2"/>
    </row>
    <row r="3" ht="75" customHeight="1" spans="1:2">
      <c r="A3" s="17" t="s">
        <v>30</v>
      </c>
      <c r="B3" s="2" t="str">
        <f>_xlfn.DISPIMG("ID_F0EA468016B84EB992663A136BA635FA",1)</f>
        <v>=DISPIMG("ID_F0EA468016B84EB992663A136BA635FA",1)</v>
      </c>
    </row>
    <row r="4" ht="97" customHeight="1" spans="1:2">
      <c r="A4" s="17" t="s">
        <v>35</v>
      </c>
      <c r="B4" s="2" t="str">
        <f>_xlfn.DISPIMG("ID_85C9243D619341BA8F666A9B7D399282",1)</f>
        <v>=DISPIMG("ID_85C9243D619341BA8F666A9B7D399282",1)</v>
      </c>
    </row>
    <row r="5" ht="165" customHeight="1" spans="1:2">
      <c r="A5" s="17" t="s">
        <v>40</v>
      </c>
      <c r="B5" s="2" t="str">
        <f>_xlfn.DISPIMG("ID_1FDAA5C0403942BDA2FB59F7E2D1DAD3",1)</f>
        <v>=DISPIMG("ID_1FDAA5C0403942BDA2FB59F7E2D1DAD3",1)</v>
      </c>
    </row>
    <row r="6" ht="181" customHeight="1" spans="1:2">
      <c r="A6" s="17" t="s">
        <v>45</v>
      </c>
      <c r="B6" s="2" t="str">
        <f>_xlfn.DISPIMG("ID_68B13806BA714BB3A6524974CCE45CE0",1)</f>
        <v>=DISPIMG("ID_68B13806BA714BB3A6524974CCE45CE0",1)</v>
      </c>
    </row>
    <row r="7" ht="271" customHeight="1" spans="1:2">
      <c r="A7" s="17" t="s">
        <v>50</v>
      </c>
      <c r="B7" s="2"/>
    </row>
    <row r="8" ht="170" customHeight="1" spans="1:2">
      <c r="A8" s="17" t="s">
        <v>55</v>
      </c>
      <c r="B8" s="3" t="str">
        <f>_xlfn.DISPIMG("ID_D14D8E05815447608928BBC649FF1310",1)</f>
        <v>=DISPIMG("ID_D14D8E05815447608928BBC649FF1310",1)</v>
      </c>
    </row>
    <row r="9" ht="170" customHeight="1" spans="1:2">
      <c r="A9" s="17" t="s">
        <v>60</v>
      </c>
      <c r="B9" s="4"/>
    </row>
    <row r="10" ht="80" customHeight="1" spans="1:2">
      <c r="A10" s="17" t="s">
        <v>65</v>
      </c>
      <c r="B10" s="5" t="str">
        <f>_xlfn.DISPIMG("ID_64902B618A304CD89D743EBF18FB8EE2",1)</f>
        <v>=DISPIMG("ID_64902B618A304CD89D743EBF18FB8EE2",1)</v>
      </c>
    </row>
    <row r="11" ht="186" customHeight="1" spans="1:2">
      <c r="A11" s="17" t="s">
        <v>70</v>
      </c>
      <c r="B11" s="5" t="str">
        <f>_xlfn.DISPIMG("ID_9E243E379E1C4F1286DCFD0AC4B51A96",1)</f>
        <v>=DISPIMG("ID_9E243E379E1C4F1286DCFD0AC4B51A96",1)</v>
      </c>
    </row>
  </sheetData>
  <mergeCells count="1">
    <mergeCell ref="B8:B9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Details</vt:lpstr>
      <vt:lpstr>UI Test Cases</vt:lpstr>
      <vt:lpstr>Screenshot 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WPS_1776823789</cp:lastModifiedBy>
  <dcterms:created xsi:type="dcterms:W3CDTF">2026-08-04T12:14:00Z</dcterms:created>
  <dcterms:modified xsi:type="dcterms:W3CDTF">2026-08-04T13:07:13Z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A089E8FA345D4B039FC7AE6F2B5152D8_12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